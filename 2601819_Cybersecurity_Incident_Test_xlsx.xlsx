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22271DB-BCDD-4D3C-9ECE-EAECAFCFDD28}" xr6:coauthVersionLast="47" xr6:coauthVersionMax="47" xr10:uidLastSave="{00000000-0000-0000-0000-000000000000}"/>
  <bookViews>
    <workbookView xWindow="-108" yWindow="-108" windowWidth="23256" windowHeight="12456" xr2:uid="{8420773F-23A4-4EC1-9722-922E3B999550}"/>
  </bookViews>
  <sheets>
    <sheet name="Sheet1" sheetId="1" r:id="rId1"/>
  </sheets>
  <definedNames>
    <definedName name="_xlnm._FilterDatabase" localSheetId="0" hidden="1">Sheet1!$F$1:$F$11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I4" i="1"/>
  <c r="H6" i="1"/>
  <c r="H10" i="1"/>
  <c r="B14" i="1"/>
  <c r="B15" i="1"/>
  <c r="B16" i="1"/>
  <c r="B17" i="1"/>
  <c r="B18" i="1"/>
  <c r="H7" i="1"/>
  <c r="H3" i="1"/>
  <c r="H5" i="1"/>
  <c r="H8" i="1"/>
  <c r="H9" i="1"/>
  <c r="H11" i="1"/>
  <c r="H2" i="1"/>
</calcChain>
</file>

<file path=xl/sharedStrings.xml><?xml version="1.0" encoding="utf-8"?>
<sst xmlns="http://schemas.openxmlformats.org/spreadsheetml/2006/main" count="79" uniqueCount="49">
  <si>
    <t>Incident ID</t>
  </si>
  <si>
    <t>Date</t>
  </si>
  <si>
    <t>Incident Type</t>
  </si>
  <si>
    <t>Department</t>
  </si>
  <si>
    <t>Severity</t>
  </si>
  <si>
    <t>Status</t>
  </si>
  <si>
    <t>Response Time (Minutes)</t>
  </si>
  <si>
    <t>INC001</t>
  </si>
  <si>
    <t>Phishing</t>
  </si>
  <si>
    <t>Finance</t>
  </si>
  <si>
    <t>High</t>
  </si>
  <si>
    <t>Resolved</t>
  </si>
  <si>
    <t>INC002</t>
  </si>
  <si>
    <t>Malware</t>
  </si>
  <si>
    <t>Student Affairs</t>
  </si>
  <si>
    <t>Critical</t>
  </si>
  <si>
    <t>INC003</t>
  </si>
  <si>
    <t>Unauthorised Access</t>
  </si>
  <si>
    <t>ICT</t>
  </si>
  <si>
    <t>Investigating</t>
  </si>
  <si>
    <t>INC004</t>
  </si>
  <si>
    <t>HR</t>
  </si>
  <si>
    <t>Medium</t>
  </si>
  <si>
    <t>INC005</t>
  </si>
  <si>
    <t>DDoS</t>
  </si>
  <si>
    <t>INC006</t>
  </si>
  <si>
    <t>Library</t>
  </si>
  <si>
    <t>INC007</t>
  </si>
  <si>
    <t>Password Attack</t>
  </si>
  <si>
    <t>INC008</t>
  </si>
  <si>
    <t>Admissions</t>
  </si>
  <si>
    <t>INC009</t>
  </si>
  <si>
    <t>Data Breach</t>
  </si>
  <si>
    <t>INC010</t>
  </si>
  <si>
    <t>Response Category</t>
  </si>
  <si>
    <t>Result</t>
  </si>
  <si>
    <t>Answer</t>
  </si>
  <si>
    <t>High Severity Incidents</t>
  </si>
  <si>
    <t>Critical Severity Incidents</t>
  </si>
  <si>
    <t>Average Response Time</t>
  </si>
  <si>
    <t>Longest Response Time</t>
  </si>
  <si>
    <t>Shortest Response Time</t>
  </si>
  <si>
    <t>Number of ICT incidents</t>
  </si>
  <si>
    <t>Most frequent incident type</t>
  </si>
  <si>
    <t>Phishing and Malware appear most frequently, with 3 incidents each.</t>
  </si>
  <si>
    <t>Number of Incidents</t>
  </si>
  <si>
    <t>Observations</t>
  </si>
  <si>
    <t>Phishing and Malware were the most common incident types, with 3 incidents each.</t>
  </si>
  <si>
    <t>The other incident types occurred only once each in the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</si>
</sst>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Cybersecurity Incidents by Incident Type</a:t>
            </a:r>
          </a:p>
        </c:rich>
      </c:tx>
      <c:layout>
        <c:manualLayout>
          <c:xMode val="edge"/>
          <c:yMode val="edge"/>
          <c:x val="0.1344790026246719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B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Sheet1!$D$13</c:f>
              <c:strCache>
                <c:ptCount val="1"/>
                <c:pt idx="0">
                  <c:v>Number of Incidents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Sheet1!$C$14:$C$19</c:f>
              <c:strCache>
                <c:ptCount val="6"/>
                <c:pt idx="0">
                  <c:v>Phishing</c:v>
                </c:pt>
                <c:pt idx="1">
                  <c:v>Malware</c:v>
                </c:pt>
                <c:pt idx="2">
                  <c:v>Unauthorised Access</c:v>
                </c:pt>
                <c:pt idx="3">
                  <c:v>DDoS</c:v>
                </c:pt>
                <c:pt idx="4">
                  <c:v>Password Attack</c:v>
                </c:pt>
                <c:pt idx="5">
                  <c:v>Data Breach</c:v>
                </c:pt>
              </c:strCache>
            </c:strRef>
          </c:cat>
          <c:val>
            <c:numRef>
              <c:f>Sheet1!$D$14:$D$19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9-46E1-A0C6-40367C797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268092159"/>
        <c:axId val="1198754095"/>
      </c:barChart>
      <c:catAx>
        <c:axId val="126809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W"/>
          </a:p>
        </c:txPr>
        <c:crossAx val="1198754095"/>
        <c:crosses val="autoZero"/>
        <c:auto val="1"/>
        <c:lblAlgn val="ctr"/>
        <c:lblOffset val="100"/>
        <c:noMultiLvlLbl val="0"/>
      </c:catAx>
      <c:valAx>
        <c:axId val="1198754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W"/>
          </a:p>
        </c:txPr>
        <c:crossAx val="1268092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800100</xdr:colOff>
      <xdr:row>12</xdr:row>
      <xdr:rowOff>369570</xdr:rowOff>
    </xdr:from>
    <xdr:to>
      <xdr:col>10</xdr:col>
      <xdr:colOff>213360</xdr:colOff>
      <xdr:row>17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4AB5F6-7E9F-B319-305A-BFB44BCB3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A54B-1248-4D79-B0C5-F2F36A45CC45}">
  <sheetPr filterMode="1"/>
  <dimension ref="A1:J37"/>
  <sheetViews>
    <sheetView tabSelected="1" topLeftCell="A4" workbookViewId="0">
      <selection activeCell="F12" sqref="F12"/>
    </sheetView>
  </sheetViews>
  <sheetFormatPr defaultRowHeight="13.8" x14ac:dyDescent="0.25"/>
  <cols>
    <col min="1" max="2" width="12.109375" style="13" bestFit="1" customWidth="1"/>
    <col min="3" max="3" width="13.44140625" style="13" customWidth="1"/>
    <col min="4" max="4" width="13.33203125" style="13" customWidth="1"/>
    <col min="5" max="5" width="10.44140625" style="13" customWidth="1"/>
    <col min="6" max="6" width="13.21875" style="13" bestFit="1" customWidth="1"/>
    <col min="7" max="8" width="11.44140625" style="13" bestFit="1" customWidth="1"/>
    <col min="9" max="9" width="12" style="13" bestFit="1" customWidth="1"/>
    <col min="10" max="10" width="63.21875" style="13" bestFit="1" customWidth="1"/>
    <col min="11" max="16384" width="8.88671875" style="13"/>
  </cols>
  <sheetData>
    <row r="1" spans="1:10" ht="47.4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 t="s">
        <v>34</v>
      </c>
      <c r="I1" s="12" t="s">
        <v>42</v>
      </c>
      <c r="J1" s="12" t="s">
        <v>43</v>
      </c>
    </row>
    <row r="2" spans="1:10" customFormat="1" ht="15.6" hidden="1" thickBot="1" x14ac:dyDescent="0.35">
      <c r="A2" s="1" t="s">
        <v>7</v>
      </c>
      <c r="B2" s="2">
        <v>46267</v>
      </c>
      <c r="C2" s="1" t="s">
        <v>8</v>
      </c>
      <c r="D2" s="1" t="s">
        <v>9</v>
      </c>
      <c r="E2" s="1" t="s">
        <v>10</v>
      </c>
      <c r="F2" s="1" t="s">
        <v>11</v>
      </c>
      <c r="G2" s="5">
        <v>180</v>
      </c>
      <c r="H2" s="4" t="str">
        <f>IF(G2&lt;60,"Fast",IF(G2&lt;120,"Moderate","Slow"))</f>
        <v>Slow</v>
      </c>
      <c r="I2" s="7"/>
      <c r="J2" s="7"/>
    </row>
    <row r="3" spans="1:10" customFormat="1" ht="30.6" hidden="1" thickBot="1" x14ac:dyDescent="0.35">
      <c r="A3" s="1" t="s">
        <v>12</v>
      </c>
      <c r="B3" s="2">
        <v>46268</v>
      </c>
      <c r="C3" s="1" t="s">
        <v>13</v>
      </c>
      <c r="D3" s="1" t="s">
        <v>14</v>
      </c>
      <c r="E3" s="1" t="s">
        <v>15</v>
      </c>
      <c r="F3" s="1" t="s">
        <v>11</v>
      </c>
      <c r="G3" s="5">
        <v>150</v>
      </c>
      <c r="H3" s="4" t="str">
        <f t="shared" ref="H3:H11" si="0">IF(G3&lt;60,"Fast",IF(G3&lt;120,"Moderate","Slow"))</f>
        <v>Slow</v>
      </c>
      <c r="I3" s="7"/>
      <c r="J3" s="7"/>
    </row>
    <row r="4" spans="1:10" ht="31.8" thickBot="1" x14ac:dyDescent="0.3">
      <c r="A4" s="14" t="s">
        <v>16</v>
      </c>
      <c r="B4" s="15">
        <v>46269</v>
      </c>
      <c r="C4" s="14" t="s">
        <v>17</v>
      </c>
      <c r="D4" s="14" t="s">
        <v>18</v>
      </c>
      <c r="E4" s="14" t="s">
        <v>10</v>
      </c>
      <c r="F4" s="14" t="s">
        <v>19</v>
      </c>
      <c r="G4" s="16">
        <v>120</v>
      </c>
      <c r="H4" s="17" t="str">
        <f t="shared" si="0"/>
        <v>Slow</v>
      </c>
      <c r="I4" s="18">
        <f>COUNTIF(D2:D11,"ICT")</f>
        <v>3</v>
      </c>
      <c r="J4" s="13" t="s">
        <v>44</v>
      </c>
    </row>
    <row r="5" spans="1:10" customFormat="1" ht="15.6" hidden="1" thickBot="1" x14ac:dyDescent="0.35">
      <c r="A5" s="1" t="s">
        <v>20</v>
      </c>
      <c r="B5" s="2">
        <v>46270</v>
      </c>
      <c r="C5" s="1" t="s">
        <v>8</v>
      </c>
      <c r="D5" s="1" t="s">
        <v>21</v>
      </c>
      <c r="E5" s="1" t="s">
        <v>22</v>
      </c>
      <c r="F5" s="3" t="s">
        <v>11</v>
      </c>
      <c r="G5" s="6">
        <v>90</v>
      </c>
      <c r="H5" s="4" t="str">
        <f t="shared" si="0"/>
        <v>Moderate</v>
      </c>
      <c r="I5" s="7"/>
      <c r="J5" s="7"/>
    </row>
    <row r="6" spans="1:10" ht="16.2" thickBot="1" x14ac:dyDescent="0.3">
      <c r="A6" s="14" t="s">
        <v>23</v>
      </c>
      <c r="B6" s="15">
        <v>46271</v>
      </c>
      <c r="C6" s="14" t="s">
        <v>24</v>
      </c>
      <c r="D6" s="14" t="s">
        <v>18</v>
      </c>
      <c r="E6" s="14" t="s">
        <v>15</v>
      </c>
      <c r="F6" s="14" t="s">
        <v>19</v>
      </c>
      <c r="G6" s="19">
        <v>75</v>
      </c>
      <c r="H6" s="17" t="str">
        <f t="shared" si="0"/>
        <v>Moderate</v>
      </c>
      <c r="I6" s="18"/>
      <c r="J6" s="18"/>
    </row>
    <row r="7" spans="1:10" customFormat="1" ht="15.6" hidden="1" thickBot="1" x14ac:dyDescent="0.35">
      <c r="A7" s="1" t="s">
        <v>25</v>
      </c>
      <c r="B7" s="2">
        <v>46272</v>
      </c>
      <c r="C7" s="1" t="s">
        <v>13</v>
      </c>
      <c r="D7" s="1" t="s">
        <v>26</v>
      </c>
      <c r="E7" s="1" t="s">
        <v>22</v>
      </c>
      <c r="F7" s="1" t="s">
        <v>11</v>
      </c>
      <c r="G7" s="5">
        <v>60</v>
      </c>
      <c r="H7" s="4" t="str">
        <f>IF(G7&lt;60,"Fast",IF(G7&lt;120,"Moderate","Slow"))</f>
        <v>Moderate</v>
      </c>
      <c r="I7" s="7"/>
      <c r="J7" s="7"/>
    </row>
    <row r="8" spans="1:10" customFormat="1" ht="30.6" hidden="1" thickBot="1" x14ac:dyDescent="0.35">
      <c r="A8" s="1" t="s">
        <v>27</v>
      </c>
      <c r="B8" s="2">
        <v>46273</v>
      </c>
      <c r="C8" s="1" t="s">
        <v>28</v>
      </c>
      <c r="D8" s="1" t="s">
        <v>9</v>
      </c>
      <c r="E8" s="1" t="s">
        <v>10</v>
      </c>
      <c r="F8" s="1" t="s">
        <v>11</v>
      </c>
      <c r="G8" s="5">
        <v>50</v>
      </c>
      <c r="H8" s="4" t="str">
        <f t="shared" si="0"/>
        <v>Fast</v>
      </c>
      <c r="I8" s="7"/>
      <c r="J8" s="7"/>
    </row>
    <row r="9" spans="1:10" customFormat="1" ht="15.6" hidden="1" thickBot="1" x14ac:dyDescent="0.35">
      <c r="A9" s="1" t="s">
        <v>29</v>
      </c>
      <c r="B9" s="2">
        <v>46274</v>
      </c>
      <c r="C9" s="1" t="s">
        <v>8</v>
      </c>
      <c r="D9" s="1" t="s">
        <v>30</v>
      </c>
      <c r="E9" s="1" t="s">
        <v>22</v>
      </c>
      <c r="F9" s="1" t="s">
        <v>11</v>
      </c>
      <c r="G9" s="5">
        <v>45</v>
      </c>
      <c r="H9" s="4" t="str">
        <f t="shared" si="0"/>
        <v>Fast</v>
      </c>
      <c r="I9" s="7"/>
      <c r="J9" s="7"/>
    </row>
    <row r="10" spans="1:10" ht="16.2" thickBot="1" x14ac:dyDescent="0.3">
      <c r="A10" s="14" t="s">
        <v>31</v>
      </c>
      <c r="B10" s="15">
        <v>46275</v>
      </c>
      <c r="C10" s="14" t="s">
        <v>32</v>
      </c>
      <c r="D10" s="14" t="s">
        <v>9</v>
      </c>
      <c r="E10" s="14" t="s">
        <v>15</v>
      </c>
      <c r="F10" s="14" t="s">
        <v>19</v>
      </c>
      <c r="G10" s="20">
        <v>35</v>
      </c>
      <c r="H10" s="17" t="str">
        <f t="shared" si="0"/>
        <v>Fast</v>
      </c>
      <c r="I10" s="18"/>
      <c r="J10" s="18"/>
    </row>
    <row r="11" spans="1:10" customFormat="1" ht="15.6" hidden="1" thickBot="1" x14ac:dyDescent="0.35">
      <c r="A11" s="1" t="s">
        <v>33</v>
      </c>
      <c r="B11" s="2">
        <v>46276</v>
      </c>
      <c r="C11" s="1" t="s">
        <v>13</v>
      </c>
      <c r="D11" s="1" t="s">
        <v>18</v>
      </c>
      <c r="E11" s="1" t="s">
        <v>10</v>
      </c>
      <c r="F11" s="1" t="s">
        <v>11</v>
      </c>
      <c r="G11" s="5">
        <v>30</v>
      </c>
      <c r="H11" s="4" t="str">
        <f t="shared" si="0"/>
        <v>Fast</v>
      </c>
      <c r="I11" s="7"/>
      <c r="J11" s="7"/>
    </row>
    <row r="12" spans="1:10" ht="15.6" x14ac:dyDescent="0.25">
      <c r="A12" s="21"/>
      <c r="B12" s="22"/>
      <c r="C12" s="21"/>
      <c r="D12" s="23"/>
      <c r="E12" s="23"/>
      <c r="F12" s="21"/>
      <c r="G12" s="18"/>
      <c r="H12" s="18"/>
      <c r="I12" s="18"/>
      <c r="J12" s="18"/>
    </row>
    <row r="13" spans="1:10" ht="31.2" x14ac:dyDescent="0.25">
      <c r="A13" s="21" t="s">
        <v>35</v>
      </c>
      <c r="B13" s="21" t="s">
        <v>36</v>
      </c>
      <c r="C13" s="24" t="s">
        <v>2</v>
      </c>
      <c r="D13" s="18" t="s">
        <v>45</v>
      </c>
    </row>
    <row r="14" spans="1:10" ht="46.8" x14ac:dyDescent="0.25">
      <c r="A14" s="21" t="s">
        <v>37</v>
      </c>
      <c r="B14" s="21">
        <f>COUNTIF(E2:E11,"High")</f>
        <v>4</v>
      </c>
      <c r="C14" s="21" t="s">
        <v>8</v>
      </c>
      <c r="D14" s="18">
        <v>3</v>
      </c>
    </row>
    <row r="15" spans="1:10" ht="46.8" x14ac:dyDescent="0.25">
      <c r="A15" s="21" t="s">
        <v>38</v>
      </c>
      <c r="B15" s="21">
        <f>COUNTIF(E2:E11,"Critical")</f>
        <v>3</v>
      </c>
      <c r="C15" s="21" t="s">
        <v>13</v>
      </c>
      <c r="D15" s="18">
        <v>3</v>
      </c>
    </row>
    <row r="16" spans="1:10" ht="46.8" x14ac:dyDescent="0.25">
      <c r="A16" s="21" t="s">
        <v>39</v>
      </c>
      <c r="B16" s="21">
        <f>AVERAGE(G2:G11)</f>
        <v>83.5</v>
      </c>
      <c r="C16" s="21" t="s">
        <v>17</v>
      </c>
      <c r="D16" s="18">
        <v>1</v>
      </c>
    </row>
    <row r="17" spans="1:4" ht="46.8" x14ac:dyDescent="0.25">
      <c r="A17" s="21" t="s">
        <v>40</v>
      </c>
      <c r="B17" s="21">
        <f>MAX(G2:G11)</f>
        <v>180</v>
      </c>
      <c r="C17" s="21" t="s">
        <v>24</v>
      </c>
      <c r="D17" s="18">
        <v>1</v>
      </c>
    </row>
    <row r="18" spans="1:4" ht="46.8" x14ac:dyDescent="0.25">
      <c r="A18" s="21" t="s">
        <v>41</v>
      </c>
      <c r="B18" s="21">
        <f>MIN(G2:G11)</f>
        <v>30</v>
      </c>
      <c r="C18" s="21" t="s">
        <v>28</v>
      </c>
      <c r="D18" s="18">
        <v>1</v>
      </c>
    </row>
    <row r="19" spans="1:4" ht="15.6" x14ac:dyDescent="0.25">
      <c r="C19" s="21" t="s">
        <v>32</v>
      </c>
      <c r="D19" s="18">
        <v>1</v>
      </c>
    </row>
    <row r="20" spans="1:4" ht="15.6" x14ac:dyDescent="0.3">
      <c r="A20" s="25"/>
    </row>
    <row r="21" spans="1:4" ht="15.6" x14ac:dyDescent="0.3">
      <c r="A21" s="25" t="s">
        <v>46</v>
      </c>
    </row>
    <row r="22" spans="1:4" x14ac:dyDescent="0.25">
      <c r="A22" s="13" t="s">
        <v>47</v>
      </c>
    </row>
    <row r="23" spans="1:4" x14ac:dyDescent="0.25">
      <c r="A23" s="13" t="s">
        <v>48</v>
      </c>
    </row>
    <row r="35" spans="1:1" ht="15.6" x14ac:dyDescent="0.3">
      <c r="A35" s="25"/>
    </row>
    <row r="36" spans="1:1" ht="15.6" x14ac:dyDescent="0.3">
      <c r="A36" s="25"/>
    </row>
    <row r="37" spans="1:1" ht="15.6" x14ac:dyDescent="0.3">
      <c r="A37" s="25"/>
    </row>
  </sheetData>
  <autoFilter ref="F1:F11" xr:uid="{6F62A54B-1248-4D79-B0C5-F2F36A45CC45}">
    <filterColumn colId="0">
      <filters>
        <filter val="Investigating"/>
      </filters>
    </filterColumn>
  </autoFilter>
  <sortState xmlns:xlrd2="http://schemas.microsoft.com/office/spreadsheetml/2017/richdata2" ref="G2:G11">
    <sortCondition descending="1" ref="G2:G11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 Selato</dc:creator>
  <cp:lastModifiedBy>Maxwell Phenyo</cp:lastModifiedBy>
  <dcterms:created xsi:type="dcterms:W3CDTF">2026-09-23T13:11:28Z</dcterms:created>
  <dcterms:modified xsi:type="dcterms:W3CDTF">2026-09-23T17:14:51Z</dcterms:modified>
</cp:coreProperties>
</file>